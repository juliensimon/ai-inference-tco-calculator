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ulien/Development/repos/tco-simulator/"/>
    </mc:Choice>
  </mc:AlternateContent>
  <xr:revisionPtr revIDLastSave="0" documentId="13_ncr:1_{12C914AD-6A41-674B-B293-07651354FCB5}" xr6:coauthVersionLast="47" xr6:coauthVersionMax="47" xr10:uidLastSave="{00000000-0000-0000-0000-000000000000}"/>
  <bookViews>
    <workbookView xWindow="0" yWindow="660" windowWidth="34560" windowHeight="20240" xr2:uid="{00000000-000D-0000-FFFF-FFFF00000000}"/>
  </bookViews>
  <sheets>
    <sheet name="Instructions" sheetId="1" r:id="rId1"/>
    <sheet name="Your Inputs" sheetId="2" r:id="rId2"/>
    <sheet name="API Costs" sheetId="3" r:id="rId3"/>
    <sheet name="Self-Hosted GPU" sheetId="4" r:id="rId4"/>
    <sheet name="Local - Edge" sheetId="5" r:id="rId5"/>
    <sheet name="Comparison" sheetId="6" r:id="rId6"/>
    <sheet name="Model Libr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C10" i="5"/>
  <c r="C7" i="5"/>
  <c r="C6" i="5"/>
  <c r="C5" i="5"/>
  <c r="C15" i="4"/>
  <c r="C7" i="4"/>
  <c r="C6" i="4"/>
  <c r="C11" i="4" s="1"/>
  <c r="C5" i="4"/>
  <c r="F6" i="3"/>
  <c r="F5" i="3"/>
  <c r="F4" i="3"/>
  <c r="E4" i="3"/>
  <c r="D4" i="3"/>
  <c r="C4" i="3"/>
  <c r="C27" i="2"/>
  <c r="E6" i="3" s="1"/>
  <c r="C26" i="2"/>
  <c r="E5" i="3" s="1"/>
  <c r="C24" i="2"/>
  <c r="D6" i="3" s="1"/>
  <c r="C23" i="2"/>
  <c r="D5" i="3" s="1"/>
  <c r="C21" i="2"/>
  <c r="C6" i="3" s="1"/>
  <c r="C20" i="2"/>
  <c r="C5" i="3" s="1"/>
  <c r="C13" i="2"/>
  <c r="C16" i="2" s="1"/>
  <c r="C12" i="2"/>
  <c r="F6" i="6" l="1"/>
  <c r="C17" i="5"/>
  <c r="F8" i="6" s="1"/>
  <c r="C11" i="5"/>
  <c r="F7" i="6" s="1"/>
  <c r="C12" i="4"/>
  <c r="E7" i="6" s="1"/>
  <c r="C18" i="4"/>
  <c r="E8" i="6" s="1"/>
  <c r="E6" i="6"/>
  <c r="E8" i="3"/>
  <c r="E10" i="3" s="1"/>
  <c r="C8" i="3"/>
  <c r="C10" i="3" s="1"/>
  <c r="D8" i="3"/>
  <c r="D10" i="3" s="1"/>
  <c r="F8" i="3"/>
  <c r="F10" i="3" s="1"/>
  <c r="C15" i="2"/>
  <c r="C14" i="2"/>
  <c r="C7" i="3" l="1"/>
  <c r="C9" i="3" s="1"/>
  <c r="C11" i="3" s="1"/>
  <c r="D7" i="3"/>
  <c r="D9" i="3" s="1"/>
  <c r="D11" i="3" s="1"/>
  <c r="E7" i="3"/>
  <c r="E9" i="3" s="1"/>
  <c r="E11" i="3" s="1"/>
  <c r="F7" i="3"/>
  <c r="F9" i="3" s="1"/>
  <c r="F11" i="3" s="1"/>
  <c r="C16" i="4"/>
  <c r="C17" i="4" s="1"/>
  <c r="C15" i="5"/>
  <c r="C16" i="5" s="1"/>
  <c r="C14" i="3" l="1"/>
  <c r="C13" i="3"/>
  <c r="C12" i="3"/>
  <c r="D14" i="3"/>
  <c r="D13" i="3"/>
  <c r="D12" i="3"/>
  <c r="E14" i="3"/>
  <c r="E13" i="3"/>
  <c r="E12" i="3"/>
  <c r="F12" i="3"/>
  <c r="F14" i="3"/>
  <c r="F13" i="3"/>
  <c r="C19" i="6" l="1"/>
  <c r="C17" i="3"/>
  <c r="C6" i="6"/>
  <c r="C18" i="3" l="1"/>
  <c r="D6" i="6"/>
  <c r="C15" i="6" s="1"/>
  <c r="C19" i="3"/>
  <c r="C22" i="6"/>
  <c r="C7" i="6"/>
  <c r="C8" i="6"/>
  <c r="C17" i="6" l="1"/>
  <c r="C16" i="6"/>
  <c r="D7" i="6"/>
  <c r="D8" i="6"/>
</calcChain>
</file>

<file path=xl/sharedStrings.xml><?xml version="1.0" encoding="utf-8"?>
<sst xmlns="http://schemas.openxmlformats.org/spreadsheetml/2006/main" count="307" uniqueCount="247">
  <si>
    <t>AI Infrastructure TCO Calculator</t>
  </si>
  <si>
    <t>By Julien Simon  |  AI Operating Partner, Fortino Capital</t>
  </si>
  <si>
    <t>How to use this calculator</t>
  </si>
  <si>
    <t>1. Go to the 'Your Inputs' tab and fill in all yellow-highlighted cells with your specific values.</t>
  </si>
  <si>
    <t>2. Blue text = your inputs. Black text = calculated formulas. Do not edit black-text cells.</t>
  </si>
  <si>
    <t>3. Select models from the built-in DROPDOWNS in Provider 1–3. Prices auto-populate from the Model Library.</t>
  </si>
  <si>
    <t>4. Provider 4 is for CUSTOM providers (e.g., Together.ai, Fireworks, Groq). Enter your own name and pricing.</t>
  </si>
  <si>
    <t>5. To override auto-populated prices, simply type over the formula in any price cell.</t>
  </si>
  <si>
    <t>6. The 'API Costs' tab compares annual costs across all 4 providers.</t>
  </si>
  <si>
    <t>7. The 'Self-Hosted GPU' tab calculates costs for running open-weights models on cloud GPUs.</t>
  </si>
  <si>
    <t>8. The 'Local / Edge' tab calculates costs for on-premises or edge deployment.</t>
  </si>
  <si>
    <t>9. The 'Comparison' tab shows a side-by-side summary with the lowest-cost option highlighted.</t>
  </si>
  <si>
    <t>All pricing data reflects February 2026 market rates.</t>
  </si>
  <si>
    <t>GPU cloud: H100 $1.49–$3.90/hr, H200 $2.50–$4.31/hr, B200 $3.75–$5.87/hr</t>
  </si>
  <si>
    <t>Companion resources:</t>
  </si>
  <si>
    <t xml:space="preserve">  • SLM vs. LLM Decision Framework (PDF)</t>
  </si>
  <si>
    <t xml:space="preserve">  • 50 Questions to Ask Before Buying AI Software (PDF)</t>
  </si>
  <si>
    <t>Your Inputs</t>
  </si>
  <si>
    <t>Fill in all yellow cells. Dropdowns auto-populate pricing from the Model Library.</t>
  </si>
  <si>
    <t>USAGE PARAMETERS</t>
  </si>
  <si>
    <t>Average tokens per request (input)</t>
  </si>
  <si>
    <t>Typical prompt length in tokens</t>
  </si>
  <si>
    <t>Average tokens per request (output)</t>
  </si>
  <si>
    <t>Typical response length in tokens</t>
  </si>
  <si>
    <t>Requests per day</t>
  </si>
  <si>
    <t>Total API/inference calls per day</t>
  </si>
  <si>
    <t>Days of operation per year</t>
  </si>
  <si>
    <t>Business days or 365 for always-on</t>
  </si>
  <si>
    <t>CALCULATED USAGE</t>
  </si>
  <si>
    <t>Input tokens per day</t>
  </si>
  <si>
    <t>input tokens/request × requests/day</t>
  </si>
  <si>
    <t>Output tokens per day</t>
  </si>
  <si>
    <t>output tokens/request × requests/day</t>
  </si>
  <si>
    <t>Total tokens per day</t>
  </si>
  <si>
    <t>Input tokens per year (millions)</t>
  </si>
  <si>
    <t>Output tokens per year (millions)</t>
  </si>
  <si>
    <t>API PRICING (per 1M tokens) — Select models from dropdown ▼</t>
  </si>
  <si>
    <t>Provider 1: model</t>
  </si>
  <si>
    <t>Claude Sonnet 4.5</t>
  </si>
  <si>
    <t>Select from dropdown ▼ or type a custom model name</t>
  </si>
  <si>
    <t>Provider 1: input price / 1M tokens ($)</t>
  </si>
  <si>
    <t>Auto-populated from Model Library. Type over to customize.</t>
  </si>
  <si>
    <t>Provider 1: output price / 1M tokens ($)</t>
  </si>
  <si>
    <t>Provider 2: model</t>
  </si>
  <si>
    <t>GPT-5</t>
  </si>
  <si>
    <t>Provider 2: input price / 1M tokens ($)</t>
  </si>
  <si>
    <t>Provider 2: output price / 1M tokens ($)</t>
  </si>
  <si>
    <t>Provider 3: model</t>
  </si>
  <si>
    <t>Gemini 2.5 Flash</t>
  </si>
  <si>
    <t>Provider 3: input price / 1M tokens ($)</t>
  </si>
  <si>
    <t>Provider 3: output price / 1M tokens ($)</t>
  </si>
  <si>
    <t>Provider 4: model (custom)</t>
  </si>
  <si>
    <t>Custom Provider</t>
  </si>
  <si>
    <t>Type any name (e.g., Together.ai Llama 3.2 70B, Groq, Fireworks)</t>
  </si>
  <si>
    <t>Provider 4: input price / 1M tokens ($)</t>
  </si>
  <si>
    <t>Enter your provider's input token price per 1M tokens</t>
  </si>
  <si>
    <t>Provider 4: output price / 1M tokens ($)</t>
  </si>
  <si>
    <t>Enter your provider's output token price per 1M tokens</t>
  </si>
  <si>
    <t>SELF-HOSTED GPU PARAMETERS</t>
  </si>
  <si>
    <t>GPU type</t>
  </si>
  <si>
    <t>H100</t>
  </si>
  <si>
    <t>H100, H200, or B200</t>
  </si>
  <si>
    <t>GPU cost per hour ($)</t>
  </si>
  <si>
    <t>Cloud rental rate. H100: $1.49–$3.90, H200: $2.50–$4.31</t>
  </si>
  <si>
    <t>Number of GPUs needed</t>
  </si>
  <si>
    <t>For 7B model: 1 GPU. For 70B model: 2–4 GPUs</t>
  </si>
  <si>
    <t>GPU utilization (%)</t>
  </si>
  <si>
    <t>Realistic avg utilization (60–80% typical)</t>
  </si>
  <si>
    <t>Hours per day running</t>
  </si>
  <si>
    <t>24 for always-on, or business hours only</t>
  </si>
  <si>
    <t>Inference throughput (tokens/sec/GPU)</t>
  </si>
  <si>
    <t>vLLM on H100: ~2300 tok/s for 8B model</t>
  </si>
  <si>
    <t>ML engineer salary (annual, $)</t>
  </si>
  <si>
    <t>Fully loaded cost for infrastructure management</t>
  </si>
  <si>
    <t>ML engineer % time on this project</t>
  </si>
  <si>
    <t>Percentage of their time dedicated to this</t>
  </si>
  <si>
    <t>Setup &amp; migration cost (one-time, $)</t>
  </si>
  <si>
    <t>Initial deployment, testing, optimization</t>
  </si>
  <si>
    <t>LOCAL / EDGE PARAMETERS</t>
  </si>
  <si>
    <t>Hardware type</t>
  </si>
  <si>
    <t>RTX 5090</t>
  </si>
  <si>
    <t>GPU/NPU for local inference</t>
  </si>
  <si>
    <t>Hardware purchase cost ($)</t>
  </si>
  <si>
    <t>One-time capital expenditure. RTX 5090 MSRP: $1,999</t>
  </si>
  <si>
    <t>Number of devices</t>
  </si>
  <si>
    <t>How many inference devices</t>
  </si>
  <si>
    <t>Power consumption (watts per device)</t>
  </si>
  <si>
    <t>GPU TDP. RTX 5090: 575W, M4 Max: ~60W</t>
  </si>
  <si>
    <t>Electricity cost ($/kWh)</t>
  </si>
  <si>
    <t>Average commercial rate</t>
  </si>
  <si>
    <t>Hardware lifetime (years)</t>
  </si>
  <si>
    <t>Expected useful life before replacement</t>
  </si>
  <si>
    <t>Local inference throughput (tokens/sec)</t>
  </si>
  <si>
    <t>llama.cpp quantized: 50–100 tok/s consumer GPU</t>
  </si>
  <si>
    <t>IT support cost (annual, $)</t>
  </si>
  <si>
    <t>Maintenance, updates, monitoring</t>
  </si>
  <si>
    <t>LLM API Cost Analysis</t>
  </si>
  <si>
    <t>Costs for 4 API providers based on your usage inputs</t>
  </si>
  <si>
    <t>Metric</t>
  </si>
  <si>
    <t>Input price / 1M tokens</t>
  </si>
  <si>
    <t>Output price / 1M tokens</t>
  </si>
  <si>
    <t>Input tokens/year (M)</t>
  </si>
  <si>
    <t>Output tokens/year (M)</t>
  </si>
  <si>
    <t>Annual input cost ($)</t>
  </si>
  <si>
    <t>Annual output cost ($)</t>
  </si>
  <si>
    <t>Total annual cost ($)</t>
  </si>
  <si>
    <t>Monthly cost ($)</t>
  </si>
  <si>
    <t>Cost per 1K requests ($)</t>
  </si>
  <si>
    <t>Adjusted annual (excl. $0 providers)</t>
  </si>
  <si>
    <t>Smart Routing Scenario</t>
  </si>
  <si>
    <t>Route 60% to cheapest provider, 40% to 2nd cheapest (across all 4)</t>
  </si>
  <si>
    <t>Blended annual cost ($)</t>
  </si>
  <si>
    <t>Monthly blended cost ($)</t>
  </si>
  <si>
    <t>Savings vs. average single provider</t>
  </si>
  <si>
    <t>Self-Hosted GPU Cost Analysis</t>
  </si>
  <si>
    <t>Cost Component</t>
  </si>
  <si>
    <t>Annual Cost ($)</t>
  </si>
  <si>
    <t>Formula / Notes</t>
  </si>
  <si>
    <t>GPU compute cost</t>
  </si>
  <si>
    <t>$/hr × GPUs × hrs/day × days/yr</t>
  </si>
  <si>
    <t>ML engineer cost (allocated)</t>
  </si>
  <si>
    <t>Salary × % time on project</t>
  </si>
  <si>
    <t>Setup cost (amortized over 3 years)</t>
  </si>
  <si>
    <t>One-time cost / 3 years</t>
  </si>
  <si>
    <t>Software licenses (est.)</t>
  </si>
  <si>
    <t>Inference framework, monitoring, etc.</t>
  </si>
  <si>
    <t>Data transfer / networking (est.)</t>
  </si>
  <si>
    <t>Egress, VPN, load balancing</t>
  </si>
  <si>
    <t>TOTAL ANNUAL COST</t>
  </si>
  <si>
    <t>Monthly cost</t>
  </si>
  <si>
    <t>Capacity Analysis</t>
  </si>
  <si>
    <t>Max tokens/day (at stated throughput)</t>
  </si>
  <si>
    <t>tok/s × GPUs × 3600 × hrs/day × utilization%</t>
  </si>
  <si>
    <t>Your daily token need</t>
  </si>
  <si>
    <t>Capacity headroom</t>
  </si>
  <si>
    <t>Should be &gt; 0%. If negative, add more GPUs.</t>
  </si>
  <si>
    <t>Effective cost per 1M tokens</t>
  </si>
  <si>
    <t>Local / Edge Deployment Cost Analysis</t>
  </si>
  <si>
    <t>Hardware (amortized)</t>
  </si>
  <si>
    <t>Purchase cost × devices / lifetime years</t>
  </si>
  <si>
    <t>Electricity</t>
  </si>
  <si>
    <t>Watts × devices × hrs/day / 1000 × days/yr × $/kWh</t>
  </si>
  <si>
    <t>IT support / maintenance</t>
  </si>
  <si>
    <t>Annual support cost</t>
  </si>
  <si>
    <t>Software / licensing (est.)</t>
  </si>
  <si>
    <t>Ollama, llama.cpp, monitoring tools</t>
  </si>
  <si>
    <t>Side-by-Side Comparison</t>
  </si>
  <si>
    <t>All costs annualized. API (Best Single) = cheapest among your 4 selected providers.</t>
  </si>
  <si>
    <t>API (Best Single)</t>
  </si>
  <si>
    <t>API (Smart Routing)</t>
  </si>
  <si>
    <t>Self-Hosted GPU</t>
  </si>
  <si>
    <t>Local / Edge</t>
  </si>
  <si>
    <t>Annual total cost ($)</t>
  </si>
  <si>
    <t>Cost per 1M tokens ($)</t>
  </si>
  <si>
    <t>Data leaves your network?</t>
  </si>
  <si>
    <t>Yes</t>
  </si>
  <si>
    <t>No (your cloud VPC)</t>
  </si>
  <si>
    <t>No (fully local)</t>
  </si>
  <si>
    <t>ML team required?</t>
  </si>
  <si>
    <t>No</t>
  </si>
  <si>
    <t>Minimal</t>
  </si>
  <si>
    <t>Scales with volume?</t>
  </si>
  <si>
    <t>Linear cost increase</t>
  </si>
  <si>
    <t>Fixed cost (to capacity)</t>
  </si>
  <si>
    <t>EU AI Act compliant?</t>
  </si>
  <si>
    <t>Depends on vendor DPA</t>
  </si>
  <si>
    <t>Full control</t>
  </si>
  <si>
    <t>Time to deploy</t>
  </si>
  <si>
    <t>Days</t>
  </si>
  <si>
    <t>Weeks</t>
  </si>
  <si>
    <t>Days to weeks</t>
  </si>
  <si>
    <t>LOWEST COST OPTION</t>
  </si>
  <si>
    <t>Annual savings vs. most expensive</t>
  </si>
  <si>
    <t>Savings percentage</t>
  </si>
  <si>
    <t>Best single API provider</t>
  </si>
  <si>
    <t>Break-Even Analysis</t>
  </si>
  <si>
    <t>Self-hosted break-even vs. best API (months)</t>
  </si>
  <si>
    <t>Months until self-hosted investment pays off</t>
  </si>
  <si>
    <t>Model Name</t>
  </si>
  <si>
    <t>Provider</t>
  </si>
  <si>
    <t>Input $/M tok</t>
  </si>
  <si>
    <t>Output $/M tok</t>
  </si>
  <si>
    <t>Notes</t>
  </si>
  <si>
    <t>GPT-5.2 Pro</t>
  </si>
  <si>
    <t>OpenAI</t>
  </si>
  <si>
    <t>Reasoning model, 2× standard cost tier</t>
  </si>
  <si>
    <t>GPT-5.2</t>
  </si>
  <si>
    <t>Latest flagship, Dec 2025</t>
  </si>
  <si>
    <t>GPT-5.1</t>
  </si>
  <si>
    <t>Coding-optimized variant</t>
  </si>
  <si>
    <t>Released Aug 2025, 400K context</t>
  </si>
  <si>
    <t>GPT-5 Mini</t>
  </si>
  <si>
    <t>Efficient mid-tier, great value</t>
  </si>
  <si>
    <t>GPT-5 Nano</t>
  </si>
  <si>
    <t>Cheapest OpenAI option</t>
  </si>
  <si>
    <t>GPT-4o</t>
  </si>
  <si>
    <t>Multimodal with vision, 128K context</t>
  </si>
  <si>
    <t>GPT-4o Mini</t>
  </si>
  <si>
    <t>Budget multimodal, 128K context</t>
  </si>
  <si>
    <t>o1</t>
  </si>
  <si>
    <t>Advanced reasoning, high-cost</t>
  </si>
  <si>
    <t>o3</t>
  </si>
  <si>
    <t>Next-gen reasoning</t>
  </si>
  <si>
    <t>o4-mini</t>
  </si>
  <si>
    <t>Affordable reasoning model</t>
  </si>
  <si>
    <t>Claude Opus 4.6</t>
  </si>
  <si>
    <t>Anthropic</t>
  </si>
  <si>
    <t>Most capable Anthropic model</t>
  </si>
  <si>
    <t>Claude Opus 4.5</t>
  </si>
  <si>
    <t>Previous flagship, same pricing as 4.6</t>
  </si>
  <si>
    <t>Claude Opus 4.1</t>
  </si>
  <si>
    <t>Specialized reasoning, premium tier</t>
  </si>
  <si>
    <t>Claude Sonnet 4</t>
  </si>
  <si>
    <t>Previous generation Sonnet</t>
  </si>
  <si>
    <t>Claude Haiku 4.5</t>
  </si>
  <si>
    <t>Fast &amp; efficient, great for routing</t>
  </si>
  <si>
    <t>Claude Haiku 3.5</t>
  </si>
  <si>
    <t>Legacy efficient model</t>
  </si>
  <si>
    <t>Claude Haiku 3</t>
  </si>
  <si>
    <t>Cheapest Anthropic option</t>
  </si>
  <si>
    <t>Gemini 3 Pro</t>
  </si>
  <si>
    <t>Google</t>
  </si>
  <si>
    <t>Latest Google flagship (preview)</t>
  </si>
  <si>
    <t>Gemini 3 Flash</t>
  </si>
  <si>
    <t>Pro-grade reasoning at Flash speed</t>
  </si>
  <si>
    <t>Gemini 2.5 Pro</t>
  </si>
  <si>
    <t>Production-ready, 1M context</t>
  </si>
  <si>
    <t>Best budget option, very capable</t>
  </si>
  <si>
    <t>Gemini 2.5 Flash-Lite</t>
  </si>
  <si>
    <t>Ultra-low-cost Google option</t>
  </si>
  <si>
    <t>Gemini 2.0 Flash-Lite</t>
  </si>
  <si>
    <t>Cheapest Google model</t>
  </si>
  <si>
    <t>DeepSeek V3.2</t>
  </si>
  <si>
    <t>DeepSeek</t>
  </si>
  <si>
    <t>Cost-effective API, strong coding/math performance</t>
  </si>
  <si>
    <t>Arcee Trinity Large</t>
  </si>
  <si>
    <t>Arcee AI</t>
  </si>
  <si>
    <t>N/A (self-hosted)</t>
  </si>
  <si>
    <t>Open-weights 420B AFMoE (13B active). Self-hosted only.</t>
  </si>
  <si>
    <t>Arcee Trinity Mini</t>
  </si>
  <si>
    <t>Open-weights 17B AFMoE (4B active). Self-hosted only.</t>
  </si>
  <si>
    <t>Pricing as of February 2026. Sources: openai.com/api/pricing, platform.claude.com/docs, ai.google.dev/gemini-api/docs/pricing</t>
  </si>
  <si>
    <t>Claude Sonnet 4.6</t>
  </si>
  <si>
    <t>Opus-level performance at Sonnet pricing, 1M context</t>
  </si>
  <si>
    <t>Previous Sonnet, same pricing as 4.6</t>
  </si>
  <si>
    <t>10. The 'Model Library' tab lists all 26 built-in models with Feb 2026 pricing.</t>
  </si>
  <si>
    <t>Last uodate February 18,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</si>
</sst>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\$#,##0.000"/>
    <numFmt numFmtId="166" formatCode="#,##0.000"/>
    <numFmt numFmtId="167" formatCode="\$#,##0"/>
    <numFmt numFmtId="168" formatCode="\$#,##0.00"/>
    <numFmt numFmtId="169" formatCode="0.0%"/>
    <numFmt numFmtId="170" formatCode="0.0"/>
  </numFmts>
  <fonts count="18" x14ac:knownFonts="1">
    <font>
      <sz val="11"/>
      <color theme="1"/>
      <name val="Calibri"/>
      <family val="2"/>
      <scheme val="minor"/>
    </font>
    <font>
      <b/>
      <sz val="18"/>
      <color rgb="FF0B1D33"/>
      <name val="Calibri"/>
      <family val="2"/>
    </font>
    <font>
      <b/>
      <sz val="12"/>
      <color rgb="FFE8634A"/>
      <name val="Calibri"/>
      <family val="2"/>
    </font>
    <font>
      <sz val="10"/>
      <color rgb="FF4A5568"/>
      <name val="Calibri"/>
      <family val="2"/>
    </font>
    <font>
      <b/>
      <sz val="13"/>
      <color rgb="FF1B3A5C"/>
      <name val="Calibri"/>
      <family val="2"/>
    </font>
    <font>
      <sz val="9"/>
      <color rgb="FF4A5568"/>
      <name val="Calibri"/>
      <family val="2"/>
    </font>
    <font>
      <b/>
      <sz val="14"/>
      <color rgb="FF0B1D33"/>
      <name val="Calibri"/>
      <family val="2"/>
    </font>
    <font>
      <b/>
      <sz val="10"/>
      <color rgb="FFFFFFFF"/>
      <name val="Calibri"/>
      <family val="2"/>
    </font>
    <font>
      <sz val="10"/>
      <color rgb="FF1B3A5C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0"/>
      <color rgb="FF0B1D33"/>
      <name val="Calibri"/>
      <family val="2"/>
    </font>
    <font>
      <b/>
      <sz val="11"/>
      <color rgb="FF0B1D33"/>
      <name val="Calibri"/>
      <family val="2"/>
    </font>
    <font>
      <b/>
      <sz val="12"/>
      <color rgb="FF1B3A5C"/>
      <name val="Calibri"/>
      <family val="2"/>
    </font>
    <font>
      <b/>
      <sz val="13"/>
      <color rgb="FFE8634A"/>
      <name val="Calibri"/>
      <family val="2"/>
    </font>
    <font>
      <b/>
      <sz val="13"/>
      <color rgb="FF009B8D"/>
      <name val="Calibri"/>
      <family val="2"/>
    </font>
    <font>
      <b/>
      <sz val="11"/>
      <color rgb="FFE8634A"/>
      <name val="Calibri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EFCF3"/>
      </patternFill>
    </fill>
    <fill>
      <patternFill patternType="solid">
        <fgColor rgb="FF4A5568"/>
      </patternFill>
    </fill>
    <fill>
      <patternFill patternType="solid">
        <fgColor rgb="FF009B8D"/>
      </patternFill>
    </fill>
    <fill>
      <patternFill patternType="solid">
        <fgColor rgb="FFDD6B20"/>
      </patternFill>
    </fill>
    <fill>
      <patternFill patternType="solid">
        <fgColor rgb="FF0B1D33"/>
      </patternFill>
    </fill>
    <fill>
      <patternFill patternType="solid">
        <fgColor rgb="FFE6F7F4"/>
      </patternFill>
    </fill>
    <fill>
      <patternFill patternType="solid">
        <fgColor rgb="FFEDF2F7"/>
      </patternFill>
    </fill>
    <fill>
      <patternFill patternType="solid">
        <fgColor rgb="FFFFF5F0"/>
      </patternFill>
    </fill>
    <fill>
      <patternFill patternType="solid">
        <fgColor rgb="FFFFF5F0"/>
        <bgColor indexed="64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2" borderId="0" xfId="0" applyFill="1"/>
    <xf numFmtId="0" fontId="3" fillId="0" borderId="0" xfId="0" applyFont="1" applyAlignment="1">
      <alignment vertical="center" wrapText="1"/>
    </xf>
    <xf numFmtId="0" fontId="8" fillId="3" borderId="1" xfId="0" applyFont="1" applyFill="1" applyBorder="1"/>
    <xf numFmtId="0" fontId="7" fillId="4" borderId="0" xfId="0" applyFont="1" applyFill="1"/>
    <xf numFmtId="0" fontId="0" fillId="4" borderId="0" xfId="0" applyFill="1"/>
    <xf numFmtId="0" fontId="9" fillId="0" borderId="1" xfId="0" applyFont="1" applyBorder="1"/>
    <xf numFmtId="164" fontId="9" fillId="0" borderId="1" xfId="0" applyNumberFormat="1" applyFont="1" applyBorder="1"/>
    <xf numFmtId="0" fontId="7" fillId="5" borderId="0" xfId="0" applyFont="1" applyFill="1"/>
    <xf numFmtId="0" fontId="0" fillId="5" borderId="0" xfId="0" applyFill="1"/>
    <xf numFmtId="165" fontId="8" fillId="3" borderId="1" xfId="0" applyNumberFormat="1" applyFont="1" applyFill="1" applyBorder="1"/>
    <xf numFmtId="0" fontId="7" fillId="6" borderId="0" xfId="0" applyFont="1" applyFill="1"/>
    <xf numFmtId="0" fontId="0" fillId="6" borderId="0" xfId="0" applyFill="1"/>
    <xf numFmtId="0" fontId="7" fillId="7" borderId="0" xfId="0" applyFont="1" applyFill="1"/>
    <xf numFmtId="0" fontId="0" fillId="7" borderId="0" xfId="0" applyFill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1" fillId="0" borderId="0" xfId="0" applyFont="1" applyAlignment="1">
      <alignment vertical="center" wrapText="1"/>
    </xf>
    <xf numFmtId="167" fontId="12" fillId="8" borderId="1" xfId="0" applyNumberFormat="1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3" fillId="0" borderId="0" xfId="0" applyFont="1"/>
    <xf numFmtId="0" fontId="11" fillId="0" borderId="0" xfId="0" applyFont="1"/>
    <xf numFmtId="167" fontId="12" fillId="8" borderId="0" xfId="0" applyNumberFormat="1" applyFont="1" applyFill="1"/>
    <xf numFmtId="167" fontId="0" fillId="0" borderId="0" xfId="0" applyNumberFormat="1"/>
    <xf numFmtId="169" fontId="12" fillId="0" borderId="0" xfId="0" applyNumberFormat="1" applyFont="1"/>
    <xf numFmtId="0" fontId="12" fillId="0" borderId="0" xfId="0" applyFont="1"/>
    <xf numFmtId="167" fontId="12" fillId="8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8" fontId="0" fillId="8" borderId="0" xfId="0" applyNumberFormat="1" applyFill="1" applyAlignment="1">
      <alignment horizontal="center"/>
    </xf>
    <xf numFmtId="0" fontId="10" fillId="7" borderId="0" xfId="0" applyFont="1" applyFill="1" applyAlignment="1">
      <alignment horizontal="center" vertical="center" wrapText="1"/>
    </xf>
    <xf numFmtId="167" fontId="12" fillId="8" borderId="1" xfId="0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167" fontId="12" fillId="0" borderId="0" xfId="0" applyNumberFormat="1" applyFont="1"/>
    <xf numFmtId="170" fontId="12" fillId="0" borderId="0" xfId="0" applyNumberFormat="1" applyFont="1"/>
    <xf numFmtId="0" fontId="16" fillId="0" borderId="0" xfId="0" applyFont="1"/>
    <xf numFmtId="0" fontId="3" fillId="9" borderId="0" xfId="0" applyFont="1" applyFill="1"/>
    <xf numFmtId="165" fontId="0" fillId="9" borderId="0" xfId="0" applyNumberFormat="1" applyFill="1" applyAlignment="1">
      <alignment horizontal="center"/>
    </xf>
    <xf numFmtId="0" fontId="5" fillId="9" borderId="0" xfId="0" applyFont="1" applyFill="1"/>
    <xf numFmtId="0" fontId="3" fillId="10" borderId="0" xfId="0" applyFont="1" applyFill="1"/>
    <xf numFmtId="165" fontId="0" fillId="10" borderId="0" xfId="0" applyNumberFormat="1" applyFill="1" applyAlignment="1">
      <alignment horizontal="center"/>
    </xf>
    <xf numFmtId="0" fontId="5" fillId="10" borderId="0" xfId="0" applyFont="1" applyFill="1"/>
    <xf numFmtId="0" fontId="3" fillId="8" borderId="0" xfId="0" applyFont="1" applyFill="1"/>
    <xf numFmtId="165" fontId="0" fillId="8" borderId="0" xfId="0" applyNumberFormat="1" applyFill="1" applyAlignment="1">
      <alignment horizontal="center"/>
    </xf>
    <xf numFmtId="0" fontId="5" fillId="8" borderId="0" xfId="0" applyFont="1" applyFill="1"/>
    <xf numFmtId="0" fontId="0" fillId="0" borderId="0" xfId="0" applyAlignment="1">
      <alignment horizontal="center"/>
    </xf>
    <xf numFmtId="0" fontId="3" fillId="11" borderId="0" xfId="0" applyFont="1" applyFill="1"/>
    <xf numFmtId="165" fontId="17" fillId="11" borderId="0" xfId="0" applyNumberFormat="1" applyFont="1" applyFill="1" applyAlignment="1">
      <alignment horizontal="center"/>
    </xf>
    <xf numFmtId="0" fontId="5" fillId="1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25E64B-39B6-C14F-97D1-32898E1B850A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D33"/>
  </sheetPr>
  <dimension ref="B2:B24"/>
  <sheetViews>
    <sheetView tabSelected="1" workbookViewId="0">
      <selection activeCell="E27" sqref="E27"/>
    </sheetView>
  </sheetViews>
  <sheetFormatPr baseColWidth="10" defaultColWidth="8.83203125" defaultRowHeight="15" x14ac:dyDescent="0.2"/>
  <cols>
    <col min="1" max="1" width="3" customWidth="1"/>
    <col min="2" max="2" width="85" customWidth="1"/>
  </cols>
  <sheetData>
    <row r="2" spans="2:2" ht="24" x14ac:dyDescent="0.3">
      <c r="B2" s="1" t="s">
        <v>0</v>
      </c>
    </row>
    <row r="3" spans="2:2" ht="16" x14ac:dyDescent="0.2">
      <c r="B3" s="2" t="s">
        <v>1</v>
      </c>
    </row>
    <row r="4" spans="2:2" x14ac:dyDescent="0.2">
      <c r="B4" s="3" t="s">
        <v>246</v>
      </c>
    </row>
    <row r="6" spans="2:2" ht="17" x14ac:dyDescent="0.2">
      <c r="B6" s="4" t="s">
        <v>2</v>
      </c>
    </row>
    <row r="8" spans="2:2" x14ac:dyDescent="0.2">
      <c r="B8" s="3" t="s">
        <v>3</v>
      </c>
    </row>
    <row r="9" spans="2:2" x14ac:dyDescent="0.2">
      <c r="B9" s="3" t="s">
        <v>4</v>
      </c>
    </row>
    <row r="10" spans="2:2" x14ac:dyDescent="0.2">
      <c r="B10" s="3" t="s">
        <v>5</v>
      </c>
    </row>
    <row r="11" spans="2:2" x14ac:dyDescent="0.2">
      <c r="B11" s="3" t="s">
        <v>6</v>
      </c>
    </row>
    <row r="12" spans="2:2" x14ac:dyDescent="0.2">
      <c r="B12" s="3" t="s">
        <v>7</v>
      </c>
    </row>
    <row r="13" spans="2:2" x14ac:dyDescent="0.2">
      <c r="B13" s="3" t="s">
        <v>8</v>
      </c>
    </row>
    <row r="14" spans="2:2" x14ac:dyDescent="0.2">
      <c r="B14" s="3" t="s">
        <v>9</v>
      </c>
    </row>
    <row r="15" spans="2:2" x14ac:dyDescent="0.2">
      <c r="B15" s="3" t="s">
        <v>10</v>
      </c>
    </row>
    <row r="16" spans="2:2" x14ac:dyDescent="0.2">
      <c r="B16" s="3" t="s">
        <v>11</v>
      </c>
    </row>
    <row r="17" spans="2:2" x14ac:dyDescent="0.2">
      <c r="B17" s="3" t="s">
        <v>245</v>
      </c>
    </row>
    <row r="18" spans="2:2" x14ac:dyDescent="0.2">
      <c r="B18" s="5"/>
    </row>
    <row r="19" spans="2:2" x14ac:dyDescent="0.2">
      <c r="B19" s="5" t="s">
        <v>12</v>
      </c>
    </row>
    <row r="20" spans="2:2" x14ac:dyDescent="0.2">
      <c r="B20" s="5" t="s">
        <v>13</v>
      </c>
    </row>
    <row r="21" spans="2:2" x14ac:dyDescent="0.2">
      <c r="B21" s="5"/>
    </row>
    <row r="22" spans="2:2" x14ac:dyDescent="0.2">
      <c r="B22" s="5" t="s">
        <v>14</v>
      </c>
    </row>
    <row r="23" spans="2:2" x14ac:dyDescent="0.2">
      <c r="B23" s="5" t="s">
        <v>15</v>
      </c>
    </row>
    <row r="24" spans="2:2" x14ac:dyDescent="0.2">
      <c r="B24" s="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5C"/>
  </sheetPr>
  <dimension ref="B2:D52"/>
  <sheetViews>
    <sheetView workbookViewId="0">
      <selection activeCell="I25" sqref="I25"/>
    </sheetView>
  </sheetViews>
  <sheetFormatPr baseColWidth="10" defaultColWidth="8.83203125" defaultRowHeight="15" x14ac:dyDescent="0.2"/>
  <cols>
    <col min="1" max="1" width="3" customWidth="1"/>
    <col min="2" max="2" width="45" customWidth="1"/>
    <col min="3" max="3" width="22" customWidth="1"/>
    <col min="4" max="4" width="50" customWidth="1"/>
  </cols>
  <sheetData>
    <row r="2" spans="2:4" ht="19" x14ac:dyDescent="0.25">
      <c r="B2" s="6" t="s">
        <v>17</v>
      </c>
    </row>
    <row r="3" spans="2:4" x14ac:dyDescent="0.2">
      <c r="B3" s="3" t="s">
        <v>18</v>
      </c>
    </row>
    <row r="5" spans="2:4" x14ac:dyDescent="0.2">
      <c r="B5" s="7" t="s">
        <v>19</v>
      </c>
      <c r="C5" s="8"/>
      <c r="D5" s="8"/>
    </row>
    <row r="6" spans="2:4" x14ac:dyDescent="0.2">
      <c r="B6" s="9" t="s">
        <v>20</v>
      </c>
      <c r="C6" s="10">
        <v>500</v>
      </c>
      <c r="D6" s="5" t="s">
        <v>21</v>
      </c>
    </row>
    <row r="7" spans="2:4" x14ac:dyDescent="0.2">
      <c r="B7" s="9" t="s">
        <v>22</v>
      </c>
      <c r="C7" s="10">
        <v>200</v>
      </c>
      <c r="D7" s="5" t="s">
        <v>23</v>
      </c>
    </row>
    <row r="8" spans="2:4" x14ac:dyDescent="0.2">
      <c r="B8" s="9" t="s">
        <v>24</v>
      </c>
      <c r="C8" s="10">
        <v>10000</v>
      </c>
      <c r="D8" s="5" t="s">
        <v>25</v>
      </c>
    </row>
    <row r="9" spans="2:4" x14ac:dyDescent="0.2">
      <c r="B9" s="9" t="s">
        <v>26</v>
      </c>
      <c r="C9" s="10">
        <v>365</v>
      </c>
      <c r="D9" s="5" t="s">
        <v>27</v>
      </c>
    </row>
    <row r="11" spans="2:4" x14ac:dyDescent="0.2">
      <c r="B11" s="11" t="s">
        <v>28</v>
      </c>
      <c r="C11" s="12"/>
      <c r="D11" s="12"/>
    </row>
    <row r="12" spans="2:4" x14ac:dyDescent="0.2">
      <c r="B12" s="9" t="s">
        <v>29</v>
      </c>
      <c r="C12" s="13">
        <f>C6*C8</f>
        <v>5000000</v>
      </c>
      <c r="D12" s="5" t="s">
        <v>30</v>
      </c>
    </row>
    <row r="13" spans="2:4" x14ac:dyDescent="0.2">
      <c r="B13" s="9" t="s">
        <v>31</v>
      </c>
      <c r="C13" s="13">
        <f>C7*C8</f>
        <v>2000000</v>
      </c>
      <c r="D13" s="5" t="s">
        <v>32</v>
      </c>
    </row>
    <row r="14" spans="2:4" x14ac:dyDescent="0.2">
      <c r="B14" s="9" t="s">
        <v>33</v>
      </c>
      <c r="C14" s="13">
        <f>C12+C13</f>
        <v>7000000</v>
      </c>
    </row>
    <row r="15" spans="2:4" x14ac:dyDescent="0.2">
      <c r="B15" s="9" t="s">
        <v>34</v>
      </c>
      <c r="C15" s="14">
        <f>C12*C9/1000000</f>
        <v>1825</v>
      </c>
    </row>
    <row r="16" spans="2:4" x14ac:dyDescent="0.2">
      <c r="B16" s="9" t="s">
        <v>35</v>
      </c>
      <c r="C16" s="14">
        <f>C13*C9/1000000</f>
        <v>730</v>
      </c>
    </row>
    <row r="18" spans="2:4" x14ac:dyDescent="0.2">
      <c r="B18" s="15" t="s">
        <v>36</v>
      </c>
      <c r="C18" s="16"/>
      <c r="D18" s="16"/>
    </row>
    <row r="19" spans="2:4" x14ac:dyDescent="0.2">
      <c r="B19" s="9" t="s">
        <v>37</v>
      </c>
      <c r="C19" s="10" t="s">
        <v>242</v>
      </c>
      <c r="D19" s="5" t="s">
        <v>39</v>
      </c>
    </row>
    <row r="20" spans="2:4" x14ac:dyDescent="0.2">
      <c r="B20" s="9" t="s">
        <v>40</v>
      </c>
      <c r="C20" s="17">
        <f>IFERROR(VLOOKUP(C19,'Model Library'!$A$2:$D$27,3,FALSE),0)</f>
        <v>3</v>
      </c>
      <c r="D20" s="5" t="s">
        <v>41</v>
      </c>
    </row>
    <row r="21" spans="2:4" x14ac:dyDescent="0.2">
      <c r="B21" s="9" t="s">
        <v>42</v>
      </c>
      <c r="C21" s="17">
        <f>IFERROR(VLOOKUP(C19,'Model Library'!$A$2:$D$27,4,FALSE),0)</f>
        <v>15</v>
      </c>
      <c r="D21" s="5" t="s">
        <v>41</v>
      </c>
    </row>
    <row r="22" spans="2:4" x14ac:dyDescent="0.2">
      <c r="B22" s="9" t="s">
        <v>43</v>
      </c>
      <c r="C22" s="10" t="s">
        <v>44</v>
      </c>
      <c r="D22" s="5" t="s">
        <v>39</v>
      </c>
    </row>
    <row r="23" spans="2:4" x14ac:dyDescent="0.2">
      <c r="B23" s="9" t="s">
        <v>45</v>
      </c>
      <c r="C23" s="17">
        <f>IFERROR(VLOOKUP(C22,'Model Library'!$A$2:$D$27,3,FALSE),0)</f>
        <v>1.25</v>
      </c>
      <c r="D23" s="5" t="s">
        <v>41</v>
      </c>
    </row>
    <row r="24" spans="2:4" x14ac:dyDescent="0.2">
      <c r="B24" s="9" t="s">
        <v>46</v>
      </c>
      <c r="C24" s="17">
        <f>IFERROR(VLOOKUP(C22,'Model Library'!$A$2:$D$27,4,FALSE),0)</f>
        <v>10</v>
      </c>
      <c r="D24" s="5" t="s">
        <v>41</v>
      </c>
    </row>
    <row r="25" spans="2:4" x14ac:dyDescent="0.2">
      <c r="B25" s="9" t="s">
        <v>47</v>
      </c>
      <c r="C25" s="10" t="s">
        <v>48</v>
      </c>
      <c r="D25" s="5" t="s">
        <v>39</v>
      </c>
    </row>
    <row r="26" spans="2:4" x14ac:dyDescent="0.2">
      <c r="B26" s="9" t="s">
        <v>49</v>
      </c>
      <c r="C26" s="17">
        <f>IFERROR(VLOOKUP(C25,'Model Library'!$A$2:$D$27,3,FALSE),0)</f>
        <v>0.15</v>
      </c>
      <c r="D26" s="5" t="s">
        <v>41</v>
      </c>
    </row>
    <row r="27" spans="2:4" x14ac:dyDescent="0.2">
      <c r="B27" s="9" t="s">
        <v>50</v>
      </c>
      <c r="C27" s="17">
        <f>IFERROR(VLOOKUP(C25,'Model Library'!$A$2:$D$27,4,FALSE),0)</f>
        <v>0.6</v>
      </c>
      <c r="D27" s="5" t="s">
        <v>41</v>
      </c>
    </row>
    <row r="28" spans="2:4" x14ac:dyDescent="0.2">
      <c r="B28" s="9" t="s">
        <v>51</v>
      </c>
      <c r="C28" s="10" t="s">
        <v>52</v>
      </c>
      <c r="D28" s="5" t="s">
        <v>53</v>
      </c>
    </row>
    <row r="29" spans="2:4" x14ac:dyDescent="0.2">
      <c r="B29" s="9" t="s">
        <v>54</v>
      </c>
      <c r="C29" s="17">
        <v>0.5</v>
      </c>
      <c r="D29" s="5" t="s">
        <v>55</v>
      </c>
    </row>
    <row r="30" spans="2:4" x14ac:dyDescent="0.2">
      <c r="B30" s="9" t="s">
        <v>56</v>
      </c>
      <c r="C30" s="17">
        <v>1.5</v>
      </c>
      <c r="D30" s="5" t="s">
        <v>57</v>
      </c>
    </row>
    <row r="32" spans="2:4" x14ac:dyDescent="0.2">
      <c r="B32" s="18" t="s">
        <v>58</v>
      </c>
      <c r="C32" s="19"/>
      <c r="D32" s="19"/>
    </row>
    <row r="33" spans="2:4" x14ac:dyDescent="0.2">
      <c r="B33" s="9" t="s">
        <v>59</v>
      </c>
      <c r="C33" s="10" t="s">
        <v>60</v>
      </c>
      <c r="D33" s="5" t="s">
        <v>61</v>
      </c>
    </row>
    <row r="34" spans="2:4" x14ac:dyDescent="0.2">
      <c r="B34" s="9" t="s">
        <v>62</v>
      </c>
      <c r="C34" s="10">
        <v>2.5</v>
      </c>
      <c r="D34" s="5" t="s">
        <v>63</v>
      </c>
    </row>
    <row r="35" spans="2:4" x14ac:dyDescent="0.2">
      <c r="B35" s="9" t="s">
        <v>64</v>
      </c>
      <c r="C35" s="10">
        <v>1</v>
      </c>
      <c r="D35" s="5" t="s">
        <v>65</v>
      </c>
    </row>
    <row r="36" spans="2:4" x14ac:dyDescent="0.2">
      <c r="B36" s="9" t="s">
        <v>66</v>
      </c>
      <c r="C36" s="10">
        <v>70</v>
      </c>
      <c r="D36" s="5" t="s">
        <v>67</v>
      </c>
    </row>
    <row r="37" spans="2:4" x14ac:dyDescent="0.2">
      <c r="B37" s="9" t="s">
        <v>68</v>
      </c>
      <c r="C37" s="10">
        <v>24</v>
      </c>
      <c r="D37" s="5" t="s">
        <v>69</v>
      </c>
    </row>
    <row r="38" spans="2:4" x14ac:dyDescent="0.2">
      <c r="B38" s="9" t="s">
        <v>70</v>
      </c>
      <c r="C38" s="10">
        <v>2300</v>
      </c>
      <c r="D38" s="5" t="s">
        <v>71</v>
      </c>
    </row>
    <row r="39" spans="2:4" x14ac:dyDescent="0.2">
      <c r="B39" s="9" t="s">
        <v>72</v>
      </c>
      <c r="C39" s="10">
        <v>180000</v>
      </c>
      <c r="D39" s="5" t="s">
        <v>73</v>
      </c>
    </row>
    <row r="40" spans="2:4" x14ac:dyDescent="0.2">
      <c r="B40" s="9" t="s">
        <v>74</v>
      </c>
      <c r="C40" s="10">
        <v>25</v>
      </c>
      <c r="D40" s="5" t="s">
        <v>75</v>
      </c>
    </row>
    <row r="41" spans="2:4" x14ac:dyDescent="0.2">
      <c r="B41" s="9" t="s">
        <v>76</v>
      </c>
      <c r="C41" s="10">
        <v>15000</v>
      </c>
      <c r="D41" s="5" t="s">
        <v>77</v>
      </c>
    </row>
    <row r="43" spans="2:4" x14ac:dyDescent="0.2">
      <c r="B43" s="20" t="s">
        <v>78</v>
      </c>
      <c r="C43" s="21"/>
      <c r="D43" s="21"/>
    </row>
    <row r="44" spans="2:4" x14ac:dyDescent="0.2">
      <c r="B44" s="9" t="s">
        <v>79</v>
      </c>
      <c r="C44" s="10" t="s">
        <v>80</v>
      </c>
      <c r="D44" s="5" t="s">
        <v>81</v>
      </c>
    </row>
    <row r="45" spans="2:4" x14ac:dyDescent="0.2">
      <c r="B45" s="9" t="s">
        <v>82</v>
      </c>
      <c r="C45" s="10">
        <v>1999</v>
      </c>
      <c r="D45" s="5" t="s">
        <v>83</v>
      </c>
    </row>
    <row r="46" spans="2:4" x14ac:dyDescent="0.2">
      <c r="B46" s="9" t="s">
        <v>84</v>
      </c>
      <c r="C46" s="10">
        <v>1</v>
      </c>
      <c r="D46" s="5" t="s">
        <v>85</v>
      </c>
    </row>
    <row r="47" spans="2:4" x14ac:dyDescent="0.2">
      <c r="B47" s="9" t="s">
        <v>86</v>
      </c>
      <c r="C47" s="10">
        <v>575</v>
      </c>
      <c r="D47" s="5" t="s">
        <v>87</v>
      </c>
    </row>
    <row r="48" spans="2:4" x14ac:dyDescent="0.2">
      <c r="B48" s="9" t="s">
        <v>88</v>
      </c>
      <c r="C48" s="10">
        <v>0.12</v>
      </c>
      <c r="D48" s="5" t="s">
        <v>89</v>
      </c>
    </row>
    <row r="49" spans="2:4" x14ac:dyDescent="0.2">
      <c r="B49" s="9" t="s">
        <v>90</v>
      </c>
      <c r="C49" s="10">
        <v>3</v>
      </c>
      <c r="D49" s="5" t="s">
        <v>91</v>
      </c>
    </row>
    <row r="50" spans="2:4" x14ac:dyDescent="0.2">
      <c r="B50" s="9" t="s">
        <v>68</v>
      </c>
      <c r="C50" s="10">
        <v>24</v>
      </c>
      <c r="D50" s="5" t="s">
        <v>69</v>
      </c>
    </row>
    <row r="51" spans="2:4" x14ac:dyDescent="0.2">
      <c r="B51" s="9" t="s">
        <v>92</v>
      </c>
      <c r="C51" s="10">
        <v>100</v>
      </c>
      <c r="D51" s="5" t="s">
        <v>93</v>
      </c>
    </row>
    <row r="52" spans="2:4" x14ac:dyDescent="0.2">
      <c r="B52" s="9" t="s">
        <v>94</v>
      </c>
      <c r="C52" s="10">
        <v>5000</v>
      </c>
      <c r="D52" s="5" t="s">
        <v>95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ErrorMessage="1" errorTitle="Model Selection" error="You can select from the list or type a custom model name." xr:uid="{00000000-0002-0000-0100-000000000000}">
          <x14:formula1>
            <xm:f>'Model Library'!$A$2:$A$27</xm:f>
          </x14:formula1>
          <xm:sqref>C19 C28 C25 C22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9B8D"/>
  </sheetPr>
  <dimension ref="B2:F19"/>
  <sheetViews>
    <sheetView workbookViewId="0"/>
  </sheetViews>
  <sheetFormatPr baseColWidth="10" defaultColWidth="8.83203125" defaultRowHeight="15" x14ac:dyDescent="0.2"/>
  <cols>
    <col min="1" max="1" width="3" customWidth="1"/>
    <col min="2" max="2" width="30" customWidth="1"/>
    <col min="3" max="6" width="20" customWidth="1"/>
  </cols>
  <sheetData>
    <row r="2" spans="2:6" ht="19" x14ac:dyDescent="0.25">
      <c r="B2" s="6" t="s">
        <v>96</v>
      </c>
    </row>
    <row r="3" spans="2:6" x14ac:dyDescent="0.2">
      <c r="B3" s="3" t="s">
        <v>97</v>
      </c>
    </row>
    <row r="4" spans="2:6" x14ac:dyDescent="0.2">
      <c r="B4" s="22" t="s">
        <v>98</v>
      </c>
      <c r="C4" s="23" t="str">
        <f>'Your Inputs'!C19</f>
        <v>Claude Sonnet 4.6</v>
      </c>
      <c r="D4" s="23" t="str">
        <f>'Your Inputs'!C22</f>
        <v>GPT-5</v>
      </c>
      <c r="E4" s="23" t="str">
        <f>'Your Inputs'!C25</f>
        <v>Gemini 2.5 Flash</v>
      </c>
      <c r="F4" s="23" t="str">
        <f>'Your Inputs'!C28</f>
        <v>Custom Provider</v>
      </c>
    </row>
    <row r="5" spans="2:6" x14ac:dyDescent="0.2">
      <c r="B5" s="9" t="s">
        <v>99</v>
      </c>
      <c r="C5" s="24">
        <f>'Your Inputs'!C20</f>
        <v>3</v>
      </c>
      <c r="D5" s="24">
        <f>'Your Inputs'!C23</f>
        <v>1.25</v>
      </c>
      <c r="E5" s="24">
        <f>'Your Inputs'!C26</f>
        <v>0.15</v>
      </c>
      <c r="F5" s="24">
        <f>'Your Inputs'!C29</f>
        <v>0.5</v>
      </c>
    </row>
    <row r="6" spans="2:6" x14ac:dyDescent="0.2">
      <c r="B6" s="9" t="s">
        <v>100</v>
      </c>
      <c r="C6" s="24">
        <f>'Your Inputs'!C21</f>
        <v>15</v>
      </c>
      <c r="D6" s="24">
        <f>'Your Inputs'!C24</f>
        <v>10</v>
      </c>
      <c r="E6" s="24">
        <f>'Your Inputs'!C27</f>
        <v>0.6</v>
      </c>
      <c r="F6" s="24">
        <f>'Your Inputs'!C30</f>
        <v>1.5</v>
      </c>
    </row>
    <row r="7" spans="2:6" x14ac:dyDescent="0.2">
      <c r="B7" s="9" t="s">
        <v>101</v>
      </c>
      <c r="C7" s="25">
        <f>'Your Inputs'!C15</f>
        <v>1825</v>
      </c>
      <c r="D7" s="25">
        <f>'Your Inputs'!C15</f>
        <v>1825</v>
      </c>
      <c r="E7" s="25">
        <f>'Your Inputs'!C15</f>
        <v>1825</v>
      </c>
      <c r="F7" s="25">
        <f>'Your Inputs'!C15</f>
        <v>1825</v>
      </c>
    </row>
    <row r="8" spans="2:6" x14ac:dyDescent="0.2">
      <c r="B8" s="9" t="s">
        <v>102</v>
      </c>
      <c r="C8" s="25">
        <f>'Your Inputs'!C16</f>
        <v>730</v>
      </c>
      <c r="D8" s="25">
        <f>'Your Inputs'!C16</f>
        <v>730</v>
      </c>
      <c r="E8" s="25">
        <f>'Your Inputs'!C16</f>
        <v>730</v>
      </c>
      <c r="F8" s="25">
        <f>'Your Inputs'!C16</f>
        <v>730</v>
      </c>
    </row>
    <row r="9" spans="2:6" x14ac:dyDescent="0.2">
      <c r="B9" s="9" t="s">
        <v>103</v>
      </c>
      <c r="C9" s="26">
        <f t="shared" ref="C9:F10" si="0">C5*C7</f>
        <v>5475</v>
      </c>
      <c r="D9" s="26">
        <f t="shared" si="0"/>
        <v>2281.25</v>
      </c>
      <c r="E9" s="26">
        <f t="shared" si="0"/>
        <v>273.75</v>
      </c>
      <c r="F9" s="26">
        <f t="shared" si="0"/>
        <v>912.5</v>
      </c>
    </row>
    <row r="10" spans="2:6" x14ac:dyDescent="0.2">
      <c r="B10" s="9" t="s">
        <v>104</v>
      </c>
      <c r="C10" s="26">
        <f t="shared" si="0"/>
        <v>10950</v>
      </c>
      <c r="D10" s="26">
        <f t="shared" si="0"/>
        <v>7300</v>
      </c>
      <c r="E10" s="26">
        <f t="shared" si="0"/>
        <v>438</v>
      </c>
      <c r="F10" s="26">
        <f t="shared" si="0"/>
        <v>1095</v>
      </c>
    </row>
    <row r="11" spans="2:6" x14ac:dyDescent="0.2">
      <c r="B11" s="27" t="s">
        <v>105</v>
      </c>
      <c r="C11" s="28">
        <f>C9+C10</f>
        <v>16425</v>
      </c>
      <c r="D11" s="28">
        <f>D9+D10</f>
        <v>9581.25</v>
      </c>
      <c r="E11" s="28">
        <f>E9+E10</f>
        <v>711.75</v>
      </c>
      <c r="F11" s="28">
        <f>F9+F10</f>
        <v>2007.5</v>
      </c>
    </row>
    <row r="12" spans="2:6" x14ac:dyDescent="0.2">
      <c r="B12" s="27" t="s">
        <v>106</v>
      </c>
      <c r="C12" s="26">
        <f>C11/12</f>
        <v>1368.75</v>
      </c>
      <c r="D12" s="26">
        <f>D11/12</f>
        <v>798.4375</v>
      </c>
      <c r="E12" s="26">
        <f>E11/12</f>
        <v>59.3125</v>
      </c>
      <c r="F12" s="26">
        <f>F11/12</f>
        <v>167.29166666666666</v>
      </c>
    </row>
    <row r="13" spans="2:6" x14ac:dyDescent="0.2">
      <c r="B13" s="9" t="s">
        <v>107</v>
      </c>
      <c r="C13" s="29">
        <f>C11/('Your Inputs'!C8*'Your Inputs'!C9)*1000</f>
        <v>4.5</v>
      </c>
      <c r="D13" s="29">
        <f>D11/('Your Inputs'!C8*'Your Inputs'!C9)*1000</f>
        <v>2.625</v>
      </c>
      <c r="E13" s="29">
        <f>E11/('Your Inputs'!C8*'Your Inputs'!C9)*1000</f>
        <v>0.19500000000000001</v>
      </c>
      <c r="F13" s="29">
        <f>F11/('Your Inputs'!C8*'Your Inputs'!C9)*1000</f>
        <v>0.55000000000000004</v>
      </c>
    </row>
    <row r="14" spans="2:6" x14ac:dyDescent="0.2">
      <c r="B14" s="5" t="s">
        <v>108</v>
      </c>
      <c r="C14" s="5">
        <f>IF(C11&gt;0,C11,9999999)</f>
        <v>16425</v>
      </c>
      <c r="D14" s="5">
        <f>IF(D11&gt;0,D11,9999999)</f>
        <v>9581.25</v>
      </c>
      <c r="E14" s="5">
        <f>IF(E11&gt;0,E11,9999999)</f>
        <v>711.75</v>
      </c>
      <c r="F14" s="5">
        <f>IF(F11&gt;0,F11,9999999)</f>
        <v>2007.5</v>
      </c>
    </row>
    <row r="15" spans="2:6" ht="16" x14ac:dyDescent="0.2">
      <c r="B15" s="30" t="s">
        <v>109</v>
      </c>
    </row>
    <row r="16" spans="2:6" x14ac:dyDescent="0.2">
      <c r="B16" s="5" t="s">
        <v>110</v>
      </c>
    </row>
    <row r="17" spans="2:3" x14ac:dyDescent="0.2">
      <c r="B17" s="31" t="s">
        <v>111</v>
      </c>
      <c r="C17" s="32">
        <f>0.6*SMALL(C14:F14,1)+0.4*SMALL(C14:F14,2)</f>
        <v>1230.05</v>
      </c>
    </row>
    <row r="18" spans="2:3" x14ac:dyDescent="0.2">
      <c r="B18" s="9" t="s">
        <v>112</v>
      </c>
      <c r="C18" s="33">
        <f>C17/12</f>
        <v>102.50416666666666</v>
      </c>
    </row>
    <row r="19" spans="2:3" x14ac:dyDescent="0.2">
      <c r="B19" s="9" t="s">
        <v>113</v>
      </c>
      <c r="C19" s="34">
        <f>IFERROR(1-C17/AVERAGEIF(C11:F11,"&gt;0"),0)</f>
        <v>0.82871664548919943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D6B20"/>
  </sheetPr>
  <dimension ref="B2:D18"/>
  <sheetViews>
    <sheetView workbookViewId="0"/>
  </sheetViews>
  <sheetFormatPr baseColWidth="10" defaultColWidth="8.83203125" defaultRowHeight="15" x14ac:dyDescent="0.2"/>
  <cols>
    <col min="1" max="1" width="3" customWidth="1"/>
    <col min="2" max="2" width="40" customWidth="1"/>
    <col min="3" max="3" width="22" customWidth="1"/>
    <col min="4" max="4" width="40" customWidth="1"/>
  </cols>
  <sheetData>
    <row r="2" spans="2:4" ht="19" x14ac:dyDescent="0.25">
      <c r="B2" s="6" t="s">
        <v>114</v>
      </c>
    </row>
    <row r="4" spans="2:4" x14ac:dyDescent="0.2">
      <c r="B4" s="22" t="s">
        <v>115</v>
      </c>
      <c r="C4" s="23" t="s">
        <v>116</v>
      </c>
      <c r="D4" s="22" t="s">
        <v>117</v>
      </c>
    </row>
    <row r="5" spans="2:4" x14ac:dyDescent="0.2">
      <c r="B5" s="9" t="s">
        <v>118</v>
      </c>
      <c r="C5" s="26">
        <f>'Your Inputs'!C34*'Your Inputs'!C35*'Your Inputs'!C37*'Your Inputs'!C9</f>
        <v>21900</v>
      </c>
      <c r="D5" s="5" t="s">
        <v>119</v>
      </c>
    </row>
    <row r="6" spans="2:4" x14ac:dyDescent="0.2">
      <c r="B6" s="9" t="s">
        <v>120</v>
      </c>
      <c r="C6" s="26">
        <f>'Your Inputs'!C39*'Your Inputs'!C40/100</f>
        <v>45000</v>
      </c>
      <c r="D6" s="5" t="s">
        <v>121</v>
      </c>
    </row>
    <row r="7" spans="2:4" x14ac:dyDescent="0.2">
      <c r="B7" s="9" t="s">
        <v>122</v>
      </c>
      <c r="C7" s="26">
        <f>'Your Inputs'!C41/3</f>
        <v>5000</v>
      </c>
      <c r="D7" s="5" t="s">
        <v>123</v>
      </c>
    </row>
    <row r="8" spans="2:4" x14ac:dyDescent="0.2">
      <c r="B8" s="9" t="s">
        <v>124</v>
      </c>
      <c r="C8" s="26">
        <v>2000</v>
      </c>
      <c r="D8" s="5" t="s">
        <v>125</v>
      </c>
    </row>
    <row r="9" spans="2:4" x14ac:dyDescent="0.2">
      <c r="B9" s="9" t="s">
        <v>126</v>
      </c>
      <c r="C9" s="26">
        <v>3000</v>
      </c>
      <c r="D9" s="5" t="s">
        <v>127</v>
      </c>
    </row>
    <row r="11" spans="2:4" x14ac:dyDescent="0.2">
      <c r="B11" s="35" t="s">
        <v>128</v>
      </c>
      <c r="C11" s="36">
        <f>SUM(C5:C9)</f>
        <v>76900</v>
      </c>
    </row>
    <row r="12" spans="2:4" x14ac:dyDescent="0.2">
      <c r="B12" s="9" t="s">
        <v>129</v>
      </c>
      <c r="C12" s="37">
        <f>C11/12</f>
        <v>6408.333333333333</v>
      </c>
    </row>
    <row r="14" spans="2:4" ht="16" x14ac:dyDescent="0.2">
      <c r="B14" s="30" t="s">
        <v>130</v>
      </c>
    </row>
    <row r="15" spans="2:4" x14ac:dyDescent="0.2">
      <c r="B15" s="9" t="s">
        <v>131</v>
      </c>
      <c r="C15" s="38">
        <f>'Your Inputs'!C38*'Your Inputs'!C35*3600*'Your Inputs'!C37*'Your Inputs'!C36/100</f>
        <v>139104000</v>
      </c>
      <c r="D15" s="5" t="s">
        <v>132</v>
      </c>
    </row>
    <row r="16" spans="2:4" x14ac:dyDescent="0.2">
      <c r="B16" s="9" t="s">
        <v>133</v>
      </c>
      <c r="C16" s="38">
        <f>'Your Inputs'!C14</f>
        <v>7000000</v>
      </c>
    </row>
    <row r="17" spans="2:4" x14ac:dyDescent="0.2">
      <c r="B17" s="9" t="s">
        <v>134</v>
      </c>
      <c r="C17" s="39">
        <f>C15/C16-1</f>
        <v>18.872</v>
      </c>
      <c r="D17" s="5" t="s">
        <v>135</v>
      </c>
    </row>
    <row r="18" spans="2:4" x14ac:dyDescent="0.2">
      <c r="B18" s="27" t="s">
        <v>136</v>
      </c>
      <c r="C18" s="40">
        <f>C11/('Your Inputs'!C14*'Your Inputs'!C9/1000000)</f>
        <v>30.097847358121331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1D33"/>
  </sheetPr>
  <dimension ref="B2:D17"/>
  <sheetViews>
    <sheetView workbookViewId="0"/>
  </sheetViews>
  <sheetFormatPr baseColWidth="10" defaultColWidth="8.83203125" defaultRowHeight="15" x14ac:dyDescent="0.2"/>
  <cols>
    <col min="1" max="1" width="3" customWidth="1"/>
    <col min="2" max="2" width="40" customWidth="1"/>
    <col min="3" max="3" width="22" customWidth="1"/>
    <col min="4" max="4" width="40" customWidth="1"/>
  </cols>
  <sheetData>
    <row r="2" spans="2:4" ht="19" x14ac:dyDescent="0.25">
      <c r="B2" s="6" t="s">
        <v>137</v>
      </c>
    </row>
    <row r="4" spans="2:4" x14ac:dyDescent="0.2">
      <c r="B4" s="22" t="s">
        <v>115</v>
      </c>
      <c r="C4" s="23" t="s">
        <v>116</v>
      </c>
      <c r="D4" s="22" t="s">
        <v>117</v>
      </c>
    </row>
    <row r="5" spans="2:4" x14ac:dyDescent="0.2">
      <c r="B5" s="9" t="s">
        <v>138</v>
      </c>
      <c r="C5" s="26">
        <f>'Your Inputs'!C45*'Your Inputs'!C46/'Your Inputs'!C49</f>
        <v>666.33333333333337</v>
      </c>
      <c r="D5" s="5" t="s">
        <v>139</v>
      </c>
    </row>
    <row r="6" spans="2:4" x14ac:dyDescent="0.2">
      <c r="B6" s="9" t="s">
        <v>140</v>
      </c>
      <c r="C6" s="26">
        <f>'Your Inputs'!C47*'Your Inputs'!C46*'Your Inputs'!C50/1000*'Your Inputs'!C9*'Your Inputs'!C48</f>
        <v>604.43999999999994</v>
      </c>
      <c r="D6" s="5" t="s">
        <v>141</v>
      </c>
    </row>
    <row r="7" spans="2:4" x14ac:dyDescent="0.2">
      <c r="B7" s="9" t="s">
        <v>142</v>
      </c>
      <c r="C7" s="26">
        <f>'Your Inputs'!C52</f>
        <v>5000</v>
      </c>
      <c r="D7" s="5" t="s">
        <v>143</v>
      </c>
    </row>
    <row r="8" spans="2:4" x14ac:dyDescent="0.2">
      <c r="B8" s="9" t="s">
        <v>144</v>
      </c>
      <c r="C8" s="26">
        <v>500</v>
      </c>
      <c r="D8" s="5" t="s">
        <v>145</v>
      </c>
    </row>
    <row r="10" spans="2:4" x14ac:dyDescent="0.2">
      <c r="B10" s="35" t="s">
        <v>128</v>
      </c>
      <c r="C10" s="36">
        <f>SUM(C5:C8)</f>
        <v>6770.7733333333335</v>
      </c>
    </row>
    <row r="11" spans="2:4" x14ac:dyDescent="0.2">
      <c r="B11" s="9" t="s">
        <v>129</v>
      </c>
      <c r="C11" s="37">
        <f>C10/12</f>
        <v>564.23111111111109</v>
      </c>
    </row>
    <row r="13" spans="2:4" ht="16" x14ac:dyDescent="0.2">
      <c r="B13" s="30" t="s">
        <v>130</v>
      </c>
    </row>
    <row r="14" spans="2:4" x14ac:dyDescent="0.2">
      <c r="B14" s="9" t="s">
        <v>131</v>
      </c>
      <c r="C14" s="38">
        <f>'Your Inputs'!C51*'Your Inputs'!C46*3600*'Your Inputs'!C50</f>
        <v>8640000</v>
      </c>
    </row>
    <row r="15" spans="2:4" x14ac:dyDescent="0.2">
      <c r="B15" s="9" t="s">
        <v>133</v>
      </c>
      <c r="C15" s="38">
        <f>'Your Inputs'!C14</f>
        <v>7000000</v>
      </c>
    </row>
    <row r="16" spans="2:4" x14ac:dyDescent="0.2">
      <c r="B16" s="9" t="s">
        <v>134</v>
      </c>
      <c r="C16" s="39">
        <f>C14/C15-1</f>
        <v>0.23428571428571421</v>
      </c>
    </row>
    <row r="17" spans="2:3" x14ac:dyDescent="0.2">
      <c r="B17" s="27" t="s">
        <v>136</v>
      </c>
      <c r="C17" s="40">
        <f>C10/('Your Inputs'!C14*'Your Inputs'!C9/1000000)</f>
        <v>2.6500091324200916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634A"/>
  </sheetPr>
  <dimension ref="B2:F24"/>
  <sheetViews>
    <sheetView workbookViewId="0"/>
  </sheetViews>
  <sheetFormatPr baseColWidth="10" defaultColWidth="8.83203125" defaultRowHeight="15" x14ac:dyDescent="0.2"/>
  <cols>
    <col min="1" max="1" width="3" customWidth="1"/>
    <col min="2" max="2" width="35" customWidth="1"/>
    <col min="3" max="6" width="22" customWidth="1"/>
  </cols>
  <sheetData>
    <row r="2" spans="2:6" ht="19" x14ac:dyDescent="0.25">
      <c r="B2" s="6" t="s">
        <v>146</v>
      </c>
    </row>
    <row r="3" spans="2:6" x14ac:dyDescent="0.2">
      <c r="B3" s="3" t="s">
        <v>147</v>
      </c>
    </row>
    <row r="5" spans="2:6" ht="16" x14ac:dyDescent="0.2">
      <c r="B5" s="41" t="s">
        <v>98</v>
      </c>
      <c r="C5" s="41" t="s">
        <v>148</v>
      </c>
      <c r="D5" s="41" t="s">
        <v>149</v>
      </c>
      <c r="E5" s="41" t="s">
        <v>150</v>
      </c>
      <c r="F5" s="41" t="s">
        <v>151</v>
      </c>
    </row>
    <row r="6" spans="2:6" x14ac:dyDescent="0.2">
      <c r="B6" s="27" t="s">
        <v>152</v>
      </c>
      <c r="C6" s="42">
        <f>MIN('API Costs'!C14,'API Costs'!D14,'API Costs'!E14,'API Costs'!F14)</f>
        <v>711.75</v>
      </c>
      <c r="D6" s="42">
        <f>'API Costs'!C17</f>
        <v>1230.05</v>
      </c>
      <c r="E6" s="42">
        <f>'Self-Hosted GPU'!C11</f>
        <v>76900</v>
      </c>
      <c r="F6" s="42">
        <f>'Local - Edge'!C10</f>
        <v>6770.7733333333335</v>
      </c>
    </row>
    <row r="7" spans="2:6" x14ac:dyDescent="0.2">
      <c r="B7" s="9" t="s">
        <v>106</v>
      </c>
      <c r="C7" s="43">
        <f>C6/12</f>
        <v>59.3125</v>
      </c>
      <c r="D7" s="43">
        <f>D6/12</f>
        <v>102.50416666666666</v>
      </c>
      <c r="E7" s="43">
        <f>'Self-Hosted GPU'!C12</f>
        <v>6408.333333333333</v>
      </c>
      <c r="F7" s="43">
        <f>'Local - Edge'!C11</f>
        <v>564.23111111111109</v>
      </c>
    </row>
    <row r="8" spans="2:6" x14ac:dyDescent="0.2">
      <c r="B8" s="27" t="s">
        <v>153</v>
      </c>
      <c r="C8" s="44">
        <f>C6/('Your Inputs'!C14*'Your Inputs'!C9/1000000)</f>
        <v>0.27857142857142858</v>
      </c>
      <c r="D8" s="44">
        <f>D6/('Your Inputs'!C14*'Your Inputs'!C9/1000000)</f>
        <v>0.48142857142857143</v>
      </c>
      <c r="E8" s="44">
        <f>'Self-Hosted GPU'!C18</f>
        <v>30.097847358121331</v>
      </c>
      <c r="F8" s="44">
        <f>'Local - Edge'!C17</f>
        <v>2.6500091324200916</v>
      </c>
    </row>
    <row r="9" spans="2:6" ht="16" x14ac:dyDescent="0.2">
      <c r="B9" s="9" t="s">
        <v>154</v>
      </c>
      <c r="C9" s="45" t="s">
        <v>155</v>
      </c>
      <c r="D9" s="45" t="s">
        <v>155</v>
      </c>
      <c r="E9" s="45" t="s">
        <v>156</v>
      </c>
      <c r="F9" s="45" t="s">
        <v>157</v>
      </c>
    </row>
    <row r="10" spans="2:6" ht="16" x14ac:dyDescent="0.2">
      <c r="B10" s="9" t="s">
        <v>158</v>
      </c>
      <c r="C10" s="45" t="s">
        <v>159</v>
      </c>
      <c r="D10" s="45" t="s">
        <v>159</v>
      </c>
      <c r="E10" s="45" t="s">
        <v>155</v>
      </c>
      <c r="F10" s="45" t="s">
        <v>160</v>
      </c>
    </row>
    <row r="11" spans="2:6" ht="16" x14ac:dyDescent="0.2">
      <c r="B11" s="9" t="s">
        <v>161</v>
      </c>
      <c r="C11" s="45" t="s">
        <v>162</v>
      </c>
      <c r="D11" s="45" t="s">
        <v>162</v>
      </c>
      <c r="E11" s="45" t="s">
        <v>163</v>
      </c>
      <c r="F11" s="45" t="s">
        <v>163</v>
      </c>
    </row>
    <row r="12" spans="2:6" ht="16" x14ac:dyDescent="0.2">
      <c r="B12" s="9" t="s">
        <v>164</v>
      </c>
      <c r="C12" s="45" t="s">
        <v>165</v>
      </c>
      <c r="D12" s="45" t="s">
        <v>165</v>
      </c>
      <c r="E12" s="45" t="s">
        <v>166</v>
      </c>
      <c r="F12" s="45" t="s">
        <v>166</v>
      </c>
    </row>
    <row r="13" spans="2:6" ht="16" x14ac:dyDescent="0.2">
      <c r="B13" s="9" t="s">
        <v>167</v>
      </c>
      <c r="C13" s="45" t="s">
        <v>168</v>
      </c>
      <c r="D13" s="45" t="s">
        <v>168</v>
      </c>
      <c r="E13" s="45" t="s">
        <v>169</v>
      </c>
      <c r="F13" s="45" t="s">
        <v>170</v>
      </c>
    </row>
    <row r="15" spans="2:6" ht="17" x14ac:dyDescent="0.2">
      <c r="B15" s="46" t="s">
        <v>171</v>
      </c>
      <c r="C15" s="47" t="str">
        <f>IF(MIN(C6,D6,E6,F6)=C6,"API (Best Single)",IF(MIN(C6,D6,E6,F6)=D6,"API (Smart Routing)",IF(MIN(C6,D6,E6,F6)=E6,"Self-Hosted GPU","Local / Edge")))</f>
        <v>API (Best Single)</v>
      </c>
    </row>
    <row r="16" spans="2:6" x14ac:dyDescent="0.2">
      <c r="B16" s="27" t="s">
        <v>172</v>
      </c>
      <c r="C16" s="48">
        <f>MAX(C6,D6,E6,F6)-MIN(C6,D6,E6,F6)</f>
        <v>76188.25</v>
      </c>
    </row>
    <row r="17" spans="2:4" x14ac:dyDescent="0.2">
      <c r="B17" s="27" t="s">
        <v>173</v>
      </c>
      <c r="C17" s="34">
        <f>1-MIN(C6,D6,E6,F6)/MAX(C6,D6,E6,F6)</f>
        <v>0.99074447334200255</v>
      </c>
    </row>
    <row r="19" spans="2:4" ht="16" x14ac:dyDescent="0.2">
      <c r="B19" s="30" t="s">
        <v>174</v>
      </c>
      <c r="C19" s="35" t="str">
        <f>IF(MIN('API Costs'!C14,'API Costs'!D14,'API Costs'!E14,'API Costs'!F14)='API Costs'!C11,'API Costs'!C4,IF(MIN('API Costs'!C14,'API Costs'!D14,'API Costs'!E14,'API Costs'!F14)='API Costs'!D11,'API Costs'!D4,IF(MIN('API Costs'!C14,'API Costs'!D14,'API Costs'!E14,'API Costs'!F14)='API Costs'!E11,'API Costs'!E4,'API Costs'!F4)))</f>
        <v>Gemini 2.5 Flash</v>
      </c>
    </row>
    <row r="21" spans="2:4" ht="16" x14ac:dyDescent="0.2">
      <c r="B21" s="30" t="s">
        <v>175</v>
      </c>
    </row>
    <row r="22" spans="2:4" x14ac:dyDescent="0.2">
      <c r="B22" s="9" t="s">
        <v>176</v>
      </c>
      <c r="C22" s="49" t="str">
        <f>IF(E6&lt;C6,('Your Inputs'!C41)/((C6-E6)/12),"API is cheaper")</f>
        <v>API is cheaper</v>
      </c>
      <c r="D22" s="5" t="s">
        <v>177</v>
      </c>
    </row>
    <row r="24" spans="2:4" x14ac:dyDescent="0.2">
      <c r="B24" s="50" t="s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9B8D"/>
  </sheetPr>
  <dimension ref="A1:E32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  <col min="3" max="4" width="16" customWidth="1"/>
    <col min="5" max="5" width="45" customWidth="1"/>
  </cols>
  <sheetData>
    <row r="1" spans="1:5" x14ac:dyDescent="0.2">
      <c r="A1" s="23" t="s">
        <v>178</v>
      </c>
      <c r="B1" s="23" t="s">
        <v>179</v>
      </c>
      <c r="C1" s="23" t="s">
        <v>180</v>
      </c>
      <c r="D1" s="23" t="s">
        <v>181</v>
      </c>
      <c r="E1" s="23" t="s">
        <v>182</v>
      </c>
    </row>
    <row r="2" spans="1:5" x14ac:dyDescent="0.2">
      <c r="A2" s="51" t="s">
        <v>183</v>
      </c>
      <c r="B2" s="51" t="s">
        <v>184</v>
      </c>
      <c r="C2" s="52">
        <v>21</v>
      </c>
      <c r="D2" s="52">
        <v>168</v>
      </c>
      <c r="E2" s="53" t="s">
        <v>185</v>
      </c>
    </row>
    <row r="3" spans="1:5" x14ac:dyDescent="0.2">
      <c r="A3" s="51" t="s">
        <v>186</v>
      </c>
      <c r="B3" s="51" t="s">
        <v>184</v>
      </c>
      <c r="C3" s="52">
        <v>1.75</v>
      </c>
      <c r="D3" s="52">
        <v>14</v>
      </c>
      <c r="E3" s="53" t="s">
        <v>187</v>
      </c>
    </row>
    <row r="4" spans="1:5" x14ac:dyDescent="0.2">
      <c r="A4" s="51" t="s">
        <v>188</v>
      </c>
      <c r="B4" s="51" t="s">
        <v>184</v>
      </c>
      <c r="C4" s="52">
        <v>1.25</v>
      </c>
      <c r="D4" s="52">
        <v>10</v>
      </c>
      <c r="E4" s="53" t="s">
        <v>189</v>
      </c>
    </row>
    <row r="5" spans="1:5" x14ac:dyDescent="0.2">
      <c r="A5" s="51" t="s">
        <v>44</v>
      </c>
      <c r="B5" s="51" t="s">
        <v>184</v>
      </c>
      <c r="C5" s="52">
        <v>1.25</v>
      </c>
      <c r="D5" s="52">
        <v>10</v>
      </c>
      <c r="E5" s="53" t="s">
        <v>190</v>
      </c>
    </row>
    <row r="6" spans="1:5" x14ac:dyDescent="0.2">
      <c r="A6" s="51" t="s">
        <v>191</v>
      </c>
      <c r="B6" s="51" t="s">
        <v>184</v>
      </c>
      <c r="C6" s="52">
        <v>0.25</v>
      </c>
      <c r="D6" s="52">
        <v>2</v>
      </c>
      <c r="E6" s="53" t="s">
        <v>192</v>
      </c>
    </row>
    <row r="7" spans="1:5" x14ac:dyDescent="0.2">
      <c r="A7" s="51" t="s">
        <v>193</v>
      </c>
      <c r="B7" s="51" t="s">
        <v>184</v>
      </c>
      <c r="C7" s="52">
        <v>0.05</v>
      </c>
      <c r="D7" s="52">
        <v>0.4</v>
      </c>
      <c r="E7" s="53" t="s">
        <v>194</v>
      </c>
    </row>
    <row r="8" spans="1:5" x14ac:dyDescent="0.2">
      <c r="A8" s="51" t="s">
        <v>195</v>
      </c>
      <c r="B8" s="51" t="s">
        <v>184</v>
      </c>
      <c r="C8" s="52">
        <v>2.5</v>
      </c>
      <c r="D8" s="52">
        <v>10</v>
      </c>
      <c r="E8" s="53" t="s">
        <v>196</v>
      </c>
    </row>
    <row r="9" spans="1:5" x14ac:dyDescent="0.2">
      <c r="A9" s="51" t="s">
        <v>197</v>
      </c>
      <c r="B9" s="51" t="s">
        <v>184</v>
      </c>
      <c r="C9" s="52">
        <v>0.15</v>
      </c>
      <c r="D9" s="52">
        <v>0.6</v>
      </c>
      <c r="E9" s="53" t="s">
        <v>198</v>
      </c>
    </row>
    <row r="10" spans="1:5" x14ac:dyDescent="0.2">
      <c r="A10" s="51" t="s">
        <v>199</v>
      </c>
      <c r="B10" s="51" t="s">
        <v>184</v>
      </c>
      <c r="C10" s="52">
        <v>15</v>
      </c>
      <c r="D10" s="52">
        <v>60</v>
      </c>
      <c r="E10" s="53" t="s">
        <v>200</v>
      </c>
    </row>
    <row r="11" spans="1:5" x14ac:dyDescent="0.2">
      <c r="A11" s="51" t="s">
        <v>201</v>
      </c>
      <c r="B11" s="51" t="s">
        <v>184</v>
      </c>
      <c r="C11" s="52">
        <v>10</v>
      </c>
      <c r="D11" s="52">
        <v>40</v>
      </c>
      <c r="E11" s="53" t="s">
        <v>202</v>
      </c>
    </row>
    <row r="12" spans="1:5" x14ac:dyDescent="0.2">
      <c r="A12" s="51" t="s">
        <v>203</v>
      </c>
      <c r="B12" s="51" t="s">
        <v>184</v>
      </c>
      <c r="C12" s="52">
        <v>1.1000000000000001</v>
      </c>
      <c r="D12" s="52">
        <v>4.4000000000000004</v>
      </c>
      <c r="E12" s="53" t="s">
        <v>204</v>
      </c>
    </row>
    <row r="13" spans="1:5" x14ac:dyDescent="0.2">
      <c r="A13" s="54" t="s">
        <v>205</v>
      </c>
      <c r="B13" s="54" t="s">
        <v>206</v>
      </c>
      <c r="C13" s="55">
        <v>5</v>
      </c>
      <c r="D13" s="55">
        <v>25</v>
      </c>
      <c r="E13" s="56" t="s">
        <v>207</v>
      </c>
    </row>
    <row r="14" spans="1:5" x14ac:dyDescent="0.2">
      <c r="A14" s="54" t="s">
        <v>208</v>
      </c>
      <c r="B14" s="54" t="s">
        <v>206</v>
      </c>
      <c r="C14" s="55">
        <v>5</v>
      </c>
      <c r="D14" s="55">
        <v>25</v>
      </c>
      <c r="E14" s="56" t="s">
        <v>209</v>
      </c>
    </row>
    <row r="15" spans="1:5" x14ac:dyDescent="0.2">
      <c r="A15" s="54" t="s">
        <v>210</v>
      </c>
      <c r="B15" s="54" t="s">
        <v>206</v>
      </c>
      <c r="C15" s="55">
        <v>15</v>
      </c>
      <c r="D15" s="55">
        <v>75</v>
      </c>
      <c r="E15" s="56" t="s">
        <v>211</v>
      </c>
    </row>
    <row r="16" spans="1:5" x14ac:dyDescent="0.2">
      <c r="A16" s="61" t="s">
        <v>242</v>
      </c>
      <c r="B16" s="61" t="s">
        <v>206</v>
      </c>
      <c r="C16" s="62">
        <v>3</v>
      </c>
      <c r="D16" s="62">
        <v>15</v>
      </c>
      <c r="E16" s="63" t="s">
        <v>243</v>
      </c>
    </row>
    <row r="17" spans="1:5" x14ac:dyDescent="0.2">
      <c r="A17" s="54" t="s">
        <v>38</v>
      </c>
      <c r="B17" s="54" t="s">
        <v>206</v>
      </c>
      <c r="C17" s="55">
        <v>3</v>
      </c>
      <c r="D17" s="55">
        <v>15</v>
      </c>
      <c r="E17" s="56" t="s">
        <v>244</v>
      </c>
    </row>
    <row r="18" spans="1:5" x14ac:dyDescent="0.2">
      <c r="A18" s="54" t="s">
        <v>212</v>
      </c>
      <c r="B18" s="54" t="s">
        <v>206</v>
      </c>
      <c r="C18" s="55">
        <v>3</v>
      </c>
      <c r="D18" s="55">
        <v>15</v>
      </c>
      <c r="E18" s="56" t="s">
        <v>213</v>
      </c>
    </row>
    <row r="19" spans="1:5" x14ac:dyDescent="0.2">
      <c r="A19" s="54" t="s">
        <v>214</v>
      </c>
      <c r="B19" s="54" t="s">
        <v>206</v>
      </c>
      <c r="C19" s="55">
        <v>1</v>
      </c>
      <c r="D19" s="55">
        <v>5</v>
      </c>
      <c r="E19" s="56" t="s">
        <v>215</v>
      </c>
    </row>
    <row r="20" spans="1:5" x14ac:dyDescent="0.2">
      <c r="A20" s="54" t="s">
        <v>216</v>
      </c>
      <c r="B20" s="54" t="s">
        <v>206</v>
      </c>
      <c r="C20" s="55">
        <v>0.8</v>
      </c>
      <c r="D20" s="55">
        <v>4</v>
      </c>
      <c r="E20" s="56" t="s">
        <v>217</v>
      </c>
    </row>
    <row r="21" spans="1:5" x14ac:dyDescent="0.2">
      <c r="A21" s="54" t="s">
        <v>218</v>
      </c>
      <c r="B21" s="54" t="s">
        <v>206</v>
      </c>
      <c r="C21" s="55">
        <v>0.25</v>
      </c>
      <c r="D21" s="55">
        <v>1.25</v>
      </c>
      <c r="E21" s="56" t="s">
        <v>219</v>
      </c>
    </row>
    <row r="22" spans="1:5" x14ac:dyDescent="0.2">
      <c r="A22" s="57" t="s">
        <v>220</v>
      </c>
      <c r="B22" s="57" t="s">
        <v>221</v>
      </c>
      <c r="C22" s="58">
        <v>2</v>
      </c>
      <c r="D22" s="58">
        <v>12</v>
      </c>
      <c r="E22" s="59" t="s">
        <v>222</v>
      </c>
    </row>
    <row r="23" spans="1:5" x14ac:dyDescent="0.2">
      <c r="A23" s="57" t="s">
        <v>223</v>
      </c>
      <c r="B23" s="57" t="s">
        <v>221</v>
      </c>
      <c r="C23" s="58">
        <v>0.5</v>
      </c>
      <c r="D23" s="58">
        <v>3</v>
      </c>
      <c r="E23" s="59" t="s">
        <v>224</v>
      </c>
    </row>
    <row r="24" spans="1:5" x14ac:dyDescent="0.2">
      <c r="A24" s="57" t="s">
        <v>225</v>
      </c>
      <c r="B24" s="57" t="s">
        <v>221</v>
      </c>
      <c r="C24" s="58">
        <v>1.25</v>
      </c>
      <c r="D24" s="58">
        <v>10</v>
      </c>
      <c r="E24" s="59" t="s">
        <v>226</v>
      </c>
    </row>
    <row r="25" spans="1:5" x14ac:dyDescent="0.2">
      <c r="A25" s="57" t="s">
        <v>48</v>
      </c>
      <c r="B25" s="57" t="s">
        <v>221</v>
      </c>
      <c r="C25" s="58">
        <v>0.15</v>
      </c>
      <c r="D25" s="58">
        <v>0.6</v>
      </c>
      <c r="E25" s="59" t="s">
        <v>227</v>
      </c>
    </row>
    <row r="26" spans="1:5" x14ac:dyDescent="0.2">
      <c r="A26" s="57" t="s">
        <v>228</v>
      </c>
      <c r="B26" s="57" t="s">
        <v>221</v>
      </c>
      <c r="C26" s="58">
        <v>0.1</v>
      </c>
      <c r="D26" s="58">
        <v>0.4</v>
      </c>
      <c r="E26" s="59" t="s">
        <v>229</v>
      </c>
    </row>
    <row r="27" spans="1:5" x14ac:dyDescent="0.2">
      <c r="A27" s="57" t="s">
        <v>230</v>
      </c>
      <c r="B27" s="57" t="s">
        <v>221</v>
      </c>
      <c r="C27" s="58">
        <v>7.4999999999999997E-2</v>
      </c>
      <c r="D27" s="58">
        <v>0.3</v>
      </c>
      <c r="E27" s="59" t="s">
        <v>231</v>
      </c>
    </row>
    <row r="28" spans="1:5" x14ac:dyDescent="0.2">
      <c r="A28" s="3" t="s">
        <v>232</v>
      </c>
      <c r="B28" s="3" t="s">
        <v>233</v>
      </c>
      <c r="C28" s="60">
        <v>0.25</v>
      </c>
      <c r="D28" s="60">
        <v>0.38</v>
      </c>
      <c r="E28" s="5" t="s">
        <v>234</v>
      </c>
    </row>
    <row r="29" spans="1:5" x14ac:dyDescent="0.2">
      <c r="A29" s="3" t="s">
        <v>235</v>
      </c>
      <c r="B29" s="3" t="s">
        <v>236</v>
      </c>
      <c r="C29" s="60" t="s">
        <v>237</v>
      </c>
      <c r="D29" s="60" t="s">
        <v>237</v>
      </c>
      <c r="E29" s="5" t="s">
        <v>238</v>
      </c>
    </row>
    <row r="30" spans="1:5" x14ac:dyDescent="0.2">
      <c r="A30" s="3" t="s">
        <v>239</v>
      </c>
      <c r="B30" s="3" t="s">
        <v>236</v>
      </c>
      <c r="C30" s="60" t="s">
        <v>237</v>
      </c>
      <c r="D30" s="60" t="s">
        <v>237</v>
      </c>
      <c r="E30" s="5" t="s">
        <v>240</v>
      </c>
    </row>
    <row r="32" spans="1:5" x14ac:dyDescent="0.2">
      <c r="A32" s="5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Instructions</vt:lpstr>
      <vt:lpstr>Your Inputs</vt:lpstr>
      <vt:lpstr>API Costs</vt:lpstr>
      <vt:lpstr>Self-Hosted GPU</vt:lpstr>
      <vt:lpstr>Local - Edge</vt:lpstr>
      <vt:lpstr>Comparison</vt:lpstr>
      <vt:lpstr>Model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Simon</cp:lastModifiedBy>
  <dcterms:created xsi:type="dcterms:W3CDTF">2026-02-11T12:41:48Z</dcterms:created>
  <dcterms:modified xsi:type="dcterms:W3CDTF">2026-02-18T12:58:36Z</dcterms:modified>
</cp:coreProperties>
</file>